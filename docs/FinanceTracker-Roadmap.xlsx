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Summary" sheetId="2" state="visible" r:id="rId4"/>
    <sheet name="QA Checklist (v1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<sst xmlns="http://schemas.openxmlformats.org/spreadsheetml/2006/main" count="171" uniqueCount="93">
  <si>
    <t xml:space="preserve">Finance Tracker — Feature Roadmap</t>
  </si>
  <si>
    <t xml:space="preserve">Phases and features. Edit Status as work progresses — Summary sheet updates automatically.</t>
  </si>
  <si>
    <t xml:space="preserve">Phase</t>
  </si>
  <si>
    <t xml:space="preserve">Feature</t>
  </si>
  <si>
    <t xml:space="preserve">Description</t>
  </si>
  <si>
    <t xml:space="preserve">Owner Role</t>
  </si>
  <si>
    <t xml:space="preserve">Status</t>
  </si>
  <si>
    <t xml:space="preserve">Priority</t>
  </si>
  <si>
    <t xml:space="preserve">Notes</t>
  </si>
  <si>
    <t xml:space="preserve">v1</t>
  </si>
  <si>
    <t xml:space="preserve">Single-user login</t>
  </si>
  <si>
    <t xml:space="preserve">Session-based auth, one seeded account. No registration flow.</t>
  </si>
  <si>
    <t xml:space="preserve">Dev</t>
  </si>
  <si>
    <t xml:space="preserve">Done</t>
  </si>
  <si>
    <t xml:space="preserve">Must</t>
  </si>
  <si>
    <t xml:space="preserve">Built; not yet run/verified locally</t>
  </si>
  <si>
    <t xml:space="preserve">Categories (fixed, editable list)</t>
  </si>
  <si>
    <t xml:space="preserve">Seeded income/expense categories; add or delete from the Categories page.</t>
  </si>
  <si>
    <t xml:space="preserve">Manual transaction entry</t>
  </si>
  <si>
    <t xml:space="preserve">Log a transaction: amount, date, category, note, income or expense.</t>
  </si>
  <si>
    <t xml:space="preserve">Edit / delete transaction</t>
  </si>
  <si>
    <t xml:space="preserve">Correct mistakes without re-entering everything.</t>
  </si>
  <si>
    <t xml:space="preserve">Transactions list, filtered by month</t>
  </si>
  <si>
    <t xml:space="preserve">Table view of all transactions for the selected month.</t>
  </si>
  <si>
    <t xml:space="preserve">Dashboard: income vs. expense + category breakdown</t>
  </si>
  <si>
    <t xml:space="preserve">Totals for the selected month and a per-category expense breakdown.</t>
  </si>
  <si>
    <t xml:space="preserve">Deploy v1 somewhere reachable from phone</t>
  </si>
  <si>
    <t xml:space="preserve">Ship it — even a cheap VPS or free host counts.</t>
  </si>
  <si>
    <t xml:space="preserve">PM</t>
  </si>
  <si>
    <t xml:space="preserve">Not Started</t>
  </si>
  <si>
    <t xml:space="preserve">Blocks 'used daily for 14 days' success criterion</t>
  </si>
  <si>
    <t xml:space="preserve">Use daily for 14 days</t>
  </si>
  <si>
    <t xml:space="preserve">The actual test of whether v1 succeeded — not a feature, a milestone.</t>
  </si>
  <si>
    <t xml:space="preserve">See QA Checklist sheet + Success Criteria below</t>
  </si>
  <si>
    <t xml:space="preserve">v2</t>
  </si>
  <si>
    <t xml:space="preserve">Budgets vs. actuals</t>
  </si>
  <si>
    <t xml:space="preserve">Set a monthly budget per category, compare against real spending.</t>
  </si>
  <si>
    <t xml:space="preserve">BA/Dev</t>
  </si>
  <si>
    <t xml:space="preserve">Parked</t>
  </si>
  <si>
    <t xml:space="preserve">Should</t>
  </si>
  <si>
    <t xml:space="preserve">Do not start until v1 used for 2+ weeks</t>
  </si>
  <si>
    <t xml:space="preserve">Recurring transactions / bill reminders</t>
  </si>
  <si>
    <t xml:space="preserve">Auto-log or remind about recurring bills.</t>
  </si>
  <si>
    <t xml:space="preserve">CSV import</t>
  </si>
  <si>
    <t xml:space="preserve">Import transactions exported from bank/e-wallet statements.</t>
  </si>
  <si>
    <t xml:space="preserve">Could</t>
  </si>
  <si>
    <t xml:space="preserve">Cuts manual entry effort once v1 habit is proven</t>
  </si>
  <si>
    <t xml:space="preserve">v3</t>
  </si>
  <si>
    <t xml:space="preserve">Reports / export (PDF, Excel)</t>
  </si>
  <si>
    <t xml:space="preserve">Export monthly or yearly summaries.</t>
  </si>
  <si>
    <t xml:space="preserve">Only valuable once there's enough real data</t>
  </si>
  <si>
    <t xml:space="preserve">Net worth / account balance tracking</t>
  </si>
  <si>
    <t xml:space="preserve">Track balances across accounts toward a savings goal.</t>
  </si>
  <si>
    <t xml:space="preserve">Adds a second core concept beyond transactions</t>
  </si>
  <si>
    <t xml:space="preserve">Multi-currency</t>
  </si>
  <si>
    <t xml:space="preserve">Support more than one currency.</t>
  </si>
  <si>
    <t xml:space="preserve">Won't (for now)</t>
  </si>
  <si>
    <t xml:space="preserve">Only if actually needed</t>
  </si>
  <si>
    <t xml:space="preserve">v4</t>
  </si>
  <si>
    <t xml:space="preserve">Mobile app (Expo / React Native)</t>
  </si>
  <si>
    <t xml:space="preserve">Native mobile app instead of the mobile-web dashboard.</t>
  </si>
  <si>
    <t xml:space="preserve">This exact scope sank the previous attempt — revisit deliberately</t>
  </si>
  <si>
    <t xml:space="preserve">Bank / e-wallet API sync (GCash, banks, etc.)</t>
  </si>
  <si>
    <t xml:space="preserve">Automatic transaction sync instead of manual entry.</t>
  </si>
  <si>
    <t xml:space="preserve">Highest effort + highest risk item — last, if ever</t>
  </si>
  <si>
    <t xml:space="preserve">Multi-user / household sharing</t>
  </si>
  <si>
    <t xml:space="preserve">Shared budgets/expenses with another person.</t>
  </si>
  <si>
    <t xml:space="preserve">Out of scope for a personal tracker</t>
  </si>
  <si>
    <t xml:space="preserve">Legend</t>
  </si>
  <si>
    <t xml:space="preserve">Status and Priority cells are dropdowns — click a cell to change it.</t>
  </si>
  <si>
    <t xml:space="preserve">Finance Tracker — Progress Summary</t>
  </si>
  <si>
    <t xml:space="preserve">Counts pull live from the Roadmap sheet — edit Status there, this updates automatically.</t>
  </si>
  <si>
    <t xml:space="preserve">Count</t>
  </si>
  <si>
    <t xml:space="preserve">In Progress</t>
  </si>
  <si>
    <t xml:space="preserve">Total features</t>
  </si>
  <si>
    <t xml:space="preserve">Total</t>
  </si>
  <si>
    <t xml:space="preserve">Not Started / Parked</t>
  </si>
  <si>
    <t xml:space="preserve">Finance Tracker — v1 QA Checklist</t>
  </si>
  <si>
    <t xml:space="preserve">Run through before calling v1 (or any milestone) "done". Mark Checked = Yes as you verify each one.</t>
  </si>
  <si>
    <t xml:space="preserve">#</t>
  </si>
  <si>
    <t xml:space="preserve">Check</t>
  </si>
  <si>
    <t xml:space="preserve">Checked?</t>
  </si>
  <si>
    <t xml:space="preserve">Can log in with the seeded account, and logging out actually blocks access</t>
  </si>
  <si>
    <t xml:space="preserve">No</t>
  </si>
  <si>
    <t xml:space="preserve">Can add a transaction (both income and expense) and see it reflected in the dashboard totals immediately</t>
  </si>
  <si>
    <t xml:space="preserve">Can edit and delete a transaction</t>
  </si>
  <si>
    <t xml:space="preserve">Dashboard totals are correct for a month with mixed income/expense entries</t>
  </si>
  <si>
    <t xml:space="preserve">Category breakdown on the dashboard matches the transactions list for the same month</t>
  </si>
  <si>
    <t xml:space="preserve">Filtering by month works on both the Dashboard and Transactions pages</t>
  </si>
  <si>
    <t xml:space="preserve">Can add and delete a category (delete is blocked if it has transactions)</t>
  </si>
  <si>
    <t xml:space="preserve">Works on a mobile browser (the likely daily-use context)</t>
  </si>
  <si>
    <t xml:space="preserve">A fresh composer install &amp;&amp; npm install &amp;&amp; migrate --seed on a clean checkout works without manual fixes</t>
  </si>
  <si>
    <t xml:space="preserve">Passed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</si>
</sst>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1B4B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DBEAFE"/>
        <bgColor rgb="FFE0E7FF"/>
      </patternFill>
    </fill>
    <fill>
      <patternFill patternType="solid">
        <fgColor rgb="FFD1FAE5"/>
        <bgColor rgb="FFDBEAFE"/>
      </patternFill>
    </fill>
    <fill>
      <patternFill patternType="solid">
        <fgColor rgb="FFF3F4F6"/>
        <bgColor rgb="FFEDE9FE"/>
      </patternFill>
    </fill>
    <fill>
      <patternFill patternType="solid">
        <fgColor rgb="FFE0E7FF"/>
        <bgColor rgb="FFDBEAFE"/>
      </patternFill>
    </fill>
    <fill>
      <patternFill patternType="solid">
        <fgColor rgb="FFFEE2E2"/>
        <bgColor rgb="FFFCE7F3"/>
      </patternFill>
    </fill>
    <fill>
      <patternFill patternType="solid">
        <fgColor rgb="FFEDE9FE"/>
        <bgColor rgb="FFE0E7FF"/>
      </patternFill>
    </fill>
    <fill>
      <patternFill patternType="solid">
        <fgColor rgb="FFFCE7F3"/>
        <bgColor rgb="FFFEE2E2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9FE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D1FAE5"/>
      <rgbColor rgb="FFF3F4F6"/>
      <rgbColor rgb="FFFCE7F3"/>
      <rgbColor rgb="FFFF99CC"/>
      <rgbColor rgb="FFCC99FF"/>
      <rgbColor rgb="FFFEE2E2"/>
      <rgbColor rgb="FF4F46E5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4" t="s">
        <v>9</v>
      </c>
      <c r="B5" s="5" t="s">
        <v>10</v>
      </c>
      <c r="C5" s="5" t="s">
        <v>11</v>
      </c>
      <c r="D5" s="5" t="s">
        <v>12</v>
      </c>
      <c r="E5" s="6" t="s">
        <v>13</v>
      </c>
      <c r="F5" s="7" t="s">
        <v>14</v>
      </c>
      <c r="G5" s="5" t="s">
        <v>15</v>
      </c>
    </row>
    <row r="6" customFormat="false" ht="23.85" hidden="false" customHeight="false" outlineLevel="0" collapsed="false">
      <c r="A6" s="4" t="s">
        <v>9</v>
      </c>
      <c r="B6" s="5" t="s">
        <v>16</v>
      </c>
      <c r="C6" s="5" t="s">
        <v>17</v>
      </c>
      <c r="D6" s="5" t="s">
        <v>12</v>
      </c>
      <c r="E6" s="6" t="s">
        <v>13</v>
      </c>
      <c r="F6" s="7" t="s">
        <v>14</v>
      </c>
      <c r="G6" s="5" t="s">
        <v>15</v>
      </c>
    </row>
    <row r="7" customFormat="false" ht="23.85" hidden="false" customHeight="false" outlineLevel="0" collapsed="false">
      <c r="A7" s="4" t="s">
        <v>9</v>
      </c>
      <c r="B7" s="5" t="s">
        <v>18</v>
      </c>
      <c r="C7" s="5" t="s">
        <v>19</v>
      </c>
      <c r="D7" s="5" t="s">
        <v>12</v>
      </c>
      <c r="E7" s="6" t="s">
        <v>13</v>
      </c>
      <c r="F7" s="7" t="s">
        <v>14</v>
      </c>
      <c r="G7" s="5" t="s">
        <v>15</v>
      </c>
    </row>
    <row r="8" customFormat="false" ht="15" hidden="false" customHeight="false" outlineLevel="0" collapsed="false">
      <c r="A8" s="4" t="s">
        <v>9</v>
      </c>
      <c r="B8" s="5" t="s">
        <v>20</v>
      </c>
      <c r="C8" s="5" t="s">
        <v>21</v>
      </c>
      <c r="D8" s="5" t="s">
        <v>12</v>
      </c>
      <c r="E8" s="6" t="s">
        <v>13</v>
      </c>
      <c r="F8" s="7" t="s">
        <v>14</v>
      </c>
      <c r="G8" s="5" t="s">
        <v>15</v>
      </c>
    </row>
    <row r="9" customFormat="false" ht="23.85" hidden="false" customHeight="false" outlineLevel="0" collapsed="false">
      <c r="A9" s="4" t="s">
        <v>9</v>
      </c>
      <c r="B9" s="5" t="s">
        <v>22</v>
      </c>
      <c r="C9" s="5" t="s">
        <v>23</v>
      </c>
      <c r="D9" s="5" t="s">
        <v>12</v>
      </c>
      <c r="E9" s="6" t="s">
        <v>13</v>
      </c>
      <c r="F9" s="7" t="s">
        <v>14</v>
      </c>
      <c r="G9" s="5" t="s">
        <v>15</v>
      </c>
    </row>
    <row r="10" customFormat="false" ht="23.85" hidden="false" customHeight="false" outlineLevel="0" collapsed="false">
      <c r="A10" s="4" t="s">
        <v>9</v>
      </c>
      <c r="B10" s="5" t="s">
        <v>24</v>
      </c>
      <c r="C10" s="5" t="s">
        <v>25</v>
      </c>
      <c r="D10" s="5" t="s">
        <v>12</v>
      </c>
      <c r="E10" s="6" t="s">
        <v>13</v>
      </c>
      <c r="F10" s="7" t="s">
        <v>14</v>
      </c>
      <c r="G10" s="5" t="s">
        <v>15</v>
      </c>
    </row>
    <row r="11" customFormat="false" ht="23.85" hidden="false" customHeight="false" outlineLevel="0" collapsed="false">
      <c r="A11" s="4" t="s">
        <v>9</v>
      </c>
      <c r="B11" s="5" t="s">
        <v>26</v>
      </c>
      <c r="C11" s="5" t="s">
        <v>27</v>
      </c>
      <c r="D11" s="5" t="s">
        <v>28</v>
      </c>
      <c r="E11" s="8" t="s">
        <v>29</v>
      </c>
      <c r="F11" s="7" t="s">
        <v>14</v>
      </c>
      <c r="G11" s="5" t="s">
        <v>30</v>
      </c>
    </row>
    <row r="12" customFormat="false" ht="23.85" hidden="false" customHeight="false" outlineLevel="0" collapsed="false">
      <c r="A12" s="4" t="s">
        <v>9</v>
      </c>
      <c r="B12" s="5" t="s">
        <v>31</v>
      </c>
      <c r="C12" s="5" t="s">
        <v>32</v>
      </c>
      <c r="D12" s="5" t="s">
        <v>28</v>
      </c>
      <c r="E12" s="8" t="s">
        <v>29</v>
      </c>
      <c r="F12" s="7" t="s">
        <v>14</v>
      </c>
      <c r="G12" s="5" t="s">
        <v>33</v>
      </c>
    </row>
    <row r="13" customFormat="false" ht="23.85" hidden="false" customHeight="false" outlineLevel="0" collapsed="false">
      <c r="A13" s="9" t="s">
        <v>34</v>
      </c>
      <c r="B13" s="5" t="s">
        <v>35</v>
      </c>
      <c r="C13" s="5" t="s">
        <v>36</v>
      </c>
      <c r="D13" s="5" t="s">
        <v>37</v>
      </c>
      <c r="E13" s="10" t="s">
        <v>38</v>
      </c>
      <c r="F13" s="7" t="s">
        <v>39</v>
      </c>
      <c r="G13" s="5" t="s">
        <v>40</v>
      </c>
    </row>
    <row r="14" customFormat="false" ht="23.85" hidden="false" customHeight="false" outlineLevel="0" collapsed="false">
      <c r="A14" s="9" t="s">
        <v>34</v>
      </c>
      <c r="B14" s="5" t="s">
        <v>41</v>
      </c>
      <c r="C14" s="5" t="s">
        <v>42</v>
      </c>
      <c r="D14" s="5" t="s">
        <v>37</v>
      </c>
      <c r="E14" s="10" t="s">
        <v>38</v>
      </c>
      <c r="F14" s="7" t="s">
        <v>39</v>
      </c>
      <c r="G14" s="5" t="s">
        <v>40</v>
      </c>
    </row>
    <row r="15" customFormat="false" ht="23.85" hidden="false" customHeight="false" outlineLevel="0" collapsed="false">
      <c r="A15" s="9" t="s">
        <v>34</v>
      </c>
      <c r="B15" s="5" t="s">
        <v>43</v>
      </c>
      <c r="C15" s="5" t="s">
        <v>44</v>
      </c>
      <c r="D15" s="5" t="s">
        <v>37</v>
      </c>
      <c r="E15" s="10" t="s">
        <v>38</v>
      </c>
      <c r="F15" s="7" t="s">
        <v>45</v>
      </c>
      <c r="G15" s="5" t="s">
        <v>46</v>
      </c>
    </row>
    <row r="16" customFormat="false" ht="15" hidden="false" customHeight="false" outlineLevel="0" collapsed="false">
      <c r="A16" s="11" t="s">
        <v>47</v>
      </c>
      <c r="B16" s="5" t="s">
        <v>48</v>
      </c>
      <c r="C16" s="5" t="s">
        <v>49</v>
      </c>
      <c r="D16" s="5" t="s">
        <v>37</v>
      </c>
      <c r="E16" s="10" t="s">
        <v>38</v>
      </c>
      <c r="F16" s="7" t="s">
        <v>45</v>
      </c>
      <c r="G16" s="5" t="s">
        <v>50</v>
      </c>
    </row>
    <row r="17" customFormat="false" ht="23.85" hidden="false" customHeight="false" outlineLevel="0" collapsed="false">
      <c r="A17" s="11" t="s">
        <v>47</v>
      </c>
      <c r="B17" s="5" t="s">
        <v>51</v>
      </c>
      <c r="C17" s="5" t="s">
        <v>52</v>
      </c>
      <c r="D17" s="5" t="s">
        <v>37</v>
      </c>
      <c r="E17" s="10" t="s">
        <v>38</v>
      </c>
      <c r="F17" s="7" t="s">
        <v>45</v>
      </c>
      <c r="G17" s="5" t="s">
        <v>53</v>
      </c>
    </row>
    <row r="18" customFormat="false" ht="15" hidden="false" customHeight="false" outlineLevel="0" collapsed="false">
      <c r="A18" s="11" t="s">
        <v>47</v>
      </c>
      <c r="B18" s="5" t="s">
        <v>54</v>
      </c>
      <c r="C18" s="5" t="s">
        <v>55</v>
      </c>
      <c r="D18" s="5" t="s">
        <v>37</v>
      </c>
      <c r="E18" s="10" t="s">
        <v>38</v>
      </c>
      <c r="F18" s="7" t="s">
        <v>56</v>
      </c>
      <c r="G18" s="5" t="s">
        <v>57</v>
      </c>
    </row>
    <row r="19" customFormat="false" ht="23.85" hidden="false" customHeight="false" outlineLevel="0" collapsed="false">
      <c r="A19" s="12" t="s">
        <v>58</v>
      </c>
      <c r="B19" s="5" t="s">
        <v>59</v>
      </c>
      <c r="C19" s="5" t="s">
        <v>60</v>
      </c>
      <c r="D19" s="5" t="s">
        <v>37</v>
      </c>
      <c r="E19" s="10" t="s">
        <v>38</v>
      </c>
      <c r="F19" s="7" t="s">
        <v>56</v>
      </c>
      <c r="G19" s="5" t="s">
        <v>61</v>
      </c>
    </row>
    <row r="20" customFormat="false" ht="23.85" hidden="false" customHeight="false" outlineLevel="0" collapsed="false">
      <c r="A20" s="12" t="s">
        <v>58</v>
      </c>
      <c r="B20" s="5" t="s">
        <v>62</v>
      </c>
      <c r="C20" s="5" t="s">
        <v>63</v>
      </c>
      <c r="D20" s="5" t="s">
        <v>37</v>
      </c>
      <c r="E20" s="10" t="s">
        <v>38</v>
      </c>
      <c r="F20" s="7" t="s">
        <v>56</v>
      </c>
      <c r="G20" s="5" t="s">
        <v>64</v>
      </c>
    </row>
    <row r="21" customFormat="false" ht="15" hidden="false" customHeight="false" outlineLevel="0" collapsed="false">
      <c r="A21" s="12" t="s">
        <v>58</v>
      </c>
      <c r="B21" s="5" t="s">
        <v>65</v>
      </c>
      <c r="C21" s="5" t="s">
        <v>66</v>
      </c>
      <c r="D21" s="5" t="s">
        <v>37</v>
      </c>
      <c r="E21" s="10" t="s">
        <v>38</v>
      </c>
      <c r="F21" s="7" t="s">
        <v>56</v>
      </c>
      <c r="G21" s="5" t="s">
        <v>67</v>
      </c>
    </row>
    <row r="23" customFormat="false" ht="15" hidden="false" customHeight="false" outlineLevel="0" collapsed="false">
      <c r="A23" s="13" t="s">
        <v>68</v>
      </c>
    </row>
    <row r="24" customFormat="false" ht="15" hidden="false" customHeight="false" outlineLevel="0" collapsed="false">
      <c r="A24" s="2" t="s">
        <v>69</v>
      </c>
      <c r="B24" s="2"/>
      <c r="C24" s="2"/>
      <c r="D24" s="2"/>
      <c r="E24" s="2"/>
      <c r="F24" s="2"/>
      <c r="G24" s="2"/>
    </row>
  </sheetData>
  <mergeCells count="3">
    <mergeCell ref="A1:G1"/>
    <mergeCell ref="A2:G2"/>
    <mergeCell ref="A24:G24"/>
  </mergeCells>
  <dataValidations count="2">
    <dataValidation allowBlank="false" errorStyle="stop" operator="between" showDropDown="false" showErrorMessage="false" showInputMessage="false" sqref="E5:E21" type="list">
      <formula1>"Done,In Progress,Not Started,Parked"</formula1>
      <formula2>0</formula2>
    </dataValidation>
    <dataValidation allowBlank="false" errorStyle="stop" operator="between" showDropDown="false" showErrorMessage="false" showInputMessage="false" sqref="F5:F21" type="list">
      <formula1>"Must,Should,Could,Won't (for now)"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70</v>
      </c>
      <c r="B1" s="1"/>
      <c r="C1" s="1"/>
      <c r="D1" s="1"/>
    </row>
    <row r="2" customFormat="false" ht="15" hidden="false" customHeight="false" outlineLevel="0" collapsed="false">
      <c r="A2" s="2" t="s">
        <v>71</v>
      </c>
      <c r="B2" s="2"/>
      <c r="C2" s="2"/>
      <c r="D2" s="2"/>
    </row>
    <row r="4" customFormat="false" ht="15" hidden="false" customHeight="false" outlineLevel="0" collapsed="false">
      <c r="A4" s="3" t="s">
        <v>6</v>
      </c>
      <c r="B4" s="3" t="s">
        <v>72</v>
      </c>
    </row>
    <row r="5" customFormat="false" ht="15" hidden="false" customHeight="false" outlineLevel="0" collapsed="false">
      <c r="A5" s="14" t="s">
        <v>13</v>
      </c>
      <c r="B5" s="15" t="n">
        <f aca="false">COUNTIF(Roadmap!E:E,A5)</f>
        <v>6</v>
      </c>
    </row>
    <row r="6" customFormat="false" ht="15" hidden="false" customHeight="false" outlineLevel="0" collapsed="false">
      <c r="A6" s="16" t="s">
        <v>73</v>
      </c>
      <c r="B6" s="15" t="n">
        <f aca="false">COUNTIF(Roadmap!E:E,A6)</f>
        <v>0</v>
      </c>
    </row>
    <row r="7" customFormat="false" ht="15" hidden="false" customHeight="false" outlineLevel="0" collapsed="false">
      <c r="A7" s="17" t="s">
        <v>29</v>
      </c>
      <c r="B7" s="15" t="n">
        <f aca="false">COUNTIF(Roadmap!E:E,A7)</f>
        <v>2</v>
      </c>
    </row>
    <row r="8" customFormat="false" ht="15" hidden="false" customHeight="false" outlineLevel="0" collapsed="false">
      <c r="A8" s="18" t="s">
        <v>38</v>
      </c>
      <c r="B8" s="15" t="n">
        <f aca="false">COUNTIF(Roadmap!E:E,A8)</f>
        <v>9</v>
      </c>
    </row>
    <row r="9" customFormat="false" ht="15" hidden="false" customHeight="false" outlineLevel="0" collapsed="false">
      <c r="A9" s="19" t="s">
        <v>74</v>
      </c>
      <c r="B9" s="20" t="n">
        <f aca="false">SUM(B5:B8)</f>
        <v>17</v>
      </c>
    </row>
    <row r="12" customFormat="false" ht="15" hidden="false" customHeight="false" outlineLevel="0" collapsed="false">
      <c r="A12" s="3" t="s">
        <v>2</v>
      </c>
      <c r="B12" s="3" t="s">
        <v>75</v>
      </c>
      <c r="C12" s="3" t="s">
        <v>13</v>
      </c>
      <c r="D12" s="3" t="s">
        <v>76</v>
      </c>
    </row>
    <row r="13" customFormat="false" ht="15" hidden="false" customHeight="false" outlineLevel="0" collapsed="false">
      <c r="A13" s="4" t="s">
        <v>9</v>
      </c>
      <c r="B13" s="15" t="n">
        <f aca="false">COUNTIF(Roadmap!A:A,A13)</f>
        <v>8</v>
      </c>
      <c r="C13" s="15" t="n">
        <f aca="false">COUNTIFS(Roadmap!A:A,A13,Roadmap!E:E,"Done")</f>
        <v>6</v>
      </c>
      <c r="D13" s="15" t="n">
        <f aca="false">COUNTIFS(Roadmap!A:A,A13,Roadmap!E:E,"Not Started")+COUNTIFS(Roadmap!A:A,A13,Roadmap!E:E,"Parked")</f>
        <v>2</v>
      </c>
    </row>
    <row r="14" customFormat="false" ht="15" hidden="false" customHeight="false" outlineLevel="0" collapsed="false">
      <c r="A14" s="9" t="s">
        <v>34</v>
      </c>
      <c r="B14" s="15" t="n">
        <f aca="false">COUNTIF(Roadmap!A:A,A14)</f>
        <v>3</v>
      </c>
      <c r="C14" s="15" t="n">
        <f aca="false">COUNTIFS(Roadmap!A:A,A14,Roadmap!E:E,"Done")</f>
        <v>0</v>
      </c>
      <c r="D14" s="15" t="n">
        <f aca="false">COUNTIFS(Roadmap!A:A,A14,Roadmap!E:E,"Not Started")+COUNTIFS(Roadmap!A:A,A14,Roadmap!E:E,"Parked")</f>
        <v>3</v>
      </c>
    </row>
    <row r="15" customFormat="false" ht="15" hidden="false" customHeight="false" outlineLevel="0" collapsed="false">
      <c r="A15" s="11" t="s">
        <v>47</v>
      </c>
      <c r="B15" s="15" t="n">
        <f aca="false">COUNTIF(Roadmap!A:A,A15)</f>
        <v>3</v>
      </c>
      <c r="C15" s="15" t="n">
        <f aca="false">COUNTIFS(Roadmap!A:A,A15,Roadmap!E:E,"Done")</f>
        <v>0</v>
      </c>
      <c r="D15" s="15" t="n">
        <f aca="false">COUNTIFS(Roadmap!A:A,A15,Roadmap!E:E,"Not Started")+COUNTIFS(Roadmap!A:A,A15,Roadmap!E:E,"Parked")</f>
        <v>3</v>
      </c>
    </row>
    <row r="16" customFormat="false" ht="15" hidden="false" customHeight="false" outlineLevel="0" collapsed="false">
      <c r="A16" s="12" t="s">
        <v>58</v>
      </c>
      <c r="B16" s="15" t="n">
        <f aca="false">COUNTIF(Roadmap!A:A,A16)</f>
        <v>3</v>
      </c>
      <c r="C16" s="15" t="n">
        <f aca="false">COUNTIFS(Roadmap!A:A,A16,Roadmap!E:E,"Done")</f>
        <v>0</v>
      </c>
      <c r="D16" s="15" t="n">
        <f aca="false">COUNTIFS(Roadmap!A:A,A16,Roadmap!E:E,"Not Started")+COUNTIFS(Roadmap!A:A,A16,Roadmap!E:E,"Parked")</f>
        <v>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77</v>
      </c>
      <c r="B1" s="1"/>
      <c r="C1" s="1"/>
    </row>
    <row r="2" customFormat="false" ht="15" hidden="false" customHeight="false" outlineLevel="0" collapsed="false">
      <c r="A2" s="2" t="s">
        <v>78</v>
      </c>
      <c r="B2" s="2"/>
      <c r="C2" s="2"/>
    </row>
    <row r="4" customFormat="false" ht="15" hidden="false" customHeight="false" outlineLevel="0" collapsed="false">
      <c r="A4" s="3" t="s">
        <v>79</v>
      </c>
      <c r="B4" s="3" t="s">
        <v>80</v>
      </c>
      <c r="C4" s="3" t="s">
        <v>81</v>
      </c>
    </row>
    <row r="5" customFormat="false" ht="15" hidden="false" customHeight="false" outlineLevel="0" collapsed="false">
      <c r="A5" s="15" t="n">
        <v>1</v>
      </c>
      <c r="B5" s="5" t="s">
        <v>82</v>
      </c>
      <c r="C5" s="7" t="s">
        <v>83</v>
      </c>
    </row>
    <row r="6" customFormat="false" ht="23.85" hidden="false" customHeight="false" outlineLevel="0" collapsed="false">
      <c r="A6" s="15" t="n">
        <v>2</v>
      </c>
      <c r="B6" s="5" t="s">
        <v>84</v>
      </c>
      <c r="C6" s="7" t="s">
        <v>83</v>
      </c>
    </row>
    <row r="7" customFormat="false" ht="15" hidden="false" customHeight="false" outlineLevel="0" collapsed="false">
      <c r="A7" s="15" t="n">
        <v>3</v>
      </c>
      <c r="B7" s="5" t="s">
        <v>85</v>
      </c>
      <c r="C7" s="7" t="s">
        <v>83</v>
      </c>
    </row>
    <row r="8" customFormat="false" ht="15" hidden="false" customHeight="false" outlineLevel="0" collapsed="false">
      <c r="A8" s="15" t="n">
        <v>4</v>
      </c>
      <c r="B8" s="5" t="s">
        <v>86</v>
      </c>
      <c r="C8" s="7" t="s">
        <v>83</v>
      </c>
    </row>
    <row r="9" customFormat="false" ht="23.85" hidden="false" customHeight="false" outlineLevel="0" collapsed="false">
      <c r="A9" s="15" t="n">
        <v>5</v>
      </c>
      <c r="B9" s="5" t="s">
        <v>87</v>
      </c>
      <c r="C9" s="7" t="s">
        <v>83</v>
      </c>
    </row>
    <row r="10" customFormat="false" ht="15" hidden="false" customHeight="false" outlineLevel="0" collapsed="false">
      <c r="A10" s="15" t="n">
        <v>6</v>
      </c>
      <c r="B10" s="5" t="s">
        <v>88</v>
      </c>
      <c r="C10" s="7" t="s">
        <v>83</v>
      </c>
    </row>
    <row r="11" customFormat="false" ht="15" hidden="false" customHeight="false" outlineLevel="0" collapsed="false">
      <c r="A11" s="15" t="n">
        <v>7</v>
      </c>
      <c r="B11" s="5" t="s">
        <v>89</v>
      </c>
      <c r="C11" s="7" t="s">
        <v>83</v>
      </c>
    </row>
    <row r="12" customFormat="false" ht="15" hidden="false" customHeight="false" outlineLevel="0" collapsed="false">
      <c r="A12" s="15" t="n">
        <v>8</v>
      </c>
      <c r="B12" s="5" t="s">
        <v>90</v>
      </c>
      <c r="C12" s="7" t="s">
        <v>83</v>
      </c>
    </row>
    <row r="13" customFormat="false" ht="23.85" hidden="false" customHeight="false" outlineLevel="0" collapsed="false">
      <c r="A13" s="15" t="n">
        <v>9</v>
      </c>
      <c r="B13" s="5" t="s">
        <v>91</v>
      </c>
      <c r="C13" s="7" t="s">
        <v>83</v>
      </c>
    </row>
    <row r="15" customFormat="false" ht="15" hidden="false" customHeight="false" outlineLevel="0" collapsed="false">
      <c r="A15" s="21" t="s">
        <v>92</v>
      </c>
      <c r="B15" s="21"/>
      <c r="C15" s="22" t="str">
        <f aca="false">COUNTIF(C5:C13,"Yes")&amp;" / "&amp;COUNTA(C5:C13)</f>
        <v>0 / 9</v>
      </c>
    </row>
  </sheetData>
  <mergeCells count="3">
    <mergeCell ref="A1:C1"/>
    <mergeCell ref="A2:C2"/>
    <mergeCell ref="A15:B15"/>
  </mergeCells>
  <dataValidations count="1">
    <dataValidation allowBlank="false" errorStyle="stop" operator="between" showDropDown="false" showErrorMessage="false" showInputMessage="false" sqref="C5:C1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2026-09-01T15:05:21Z</dcterms:created>
  <dc:creator>openpyxl</dc:creator>
  <dc:description/>
  <dc:language>en-US</dc:language>
  <cp:lastModifiedBy/>
  <dcterms:modified xsi:type="dcterms:W3CDTF">2026-09-01T15:05:21Z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